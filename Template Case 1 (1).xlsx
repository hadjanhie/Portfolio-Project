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oul\Downloads\"/>
    </mc:Choice>
  </mc:AlternateContent>
  <xr:revisionPtr revIDLastSave="0" documentId="13_ncr:1_{9364D981-A61A-4C97-9302-EEB0E3C967F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94" i="1" l="1"/>
  <c r="H94" i="1"/>
  <c r="D94" i="1"/>
  <c r="E93" i="1"/>
  <c r="D93" i="1"/>
  <c r="D83" i="1"/>
  <c r="H81" i="1"/>
  <c r="H79" i="1"/>
  <c r="G81" i="1"/>
  <c r="F81" i="1"/>
  <c r="E81" i="1"/>
  <c r="D81" i="1"/>
  <c r="D92" i="1"/>
  <c r="D96" i="1"/>
  <c r="D88" i="1"/>
  <c r="D87" i="1"/>
  <c r="G80" i="1"/>
  <c r="G79" i="1"/>
  <c r="F80" i="1"/>
  <c r="F79" i="1"/>
  <c r="E80" i="1"/>
  <c r="E76" i="1"/>
  <c r="E75" i="1"/>
  <c r="G72" i="1"/>
  <c r="F72" i="1"/>
  <c r="E72" i="1"/>
  <c r="E65" i="1"/>
  <c r="F91" i="1"/>
  <c r="G91" i="1"/>
  <c r="H91" i="1"/>
  <c r="E91" i="1"/>
  <c r="E94" i="1"/>
  <c r="E52" i="1"/>
  <c r="H72" i="1"/>
  <c r="E71" i="1"/>
  <c r="F71" i="1" s="1"/>
  <c r="G71" i="1" s="1"/>
  <c r="H71" i="1" s="1"/>
  <c r="E49" i="1"/>
  <c r="E50" i="1" s="1"/>
  <c r="E51" i="1" s="1"/>
  <c r="E57" i="1"/>
  <c r="E55" i="1"/>
  <c r="E56" i="1" s="1"/>
  <c r="E66" i="1" s="1"/>
  <c r="D32" i="1"/>
  <c r="D31" i="1"/>
  <c r="F93" i="1" l="1"/>
  <c r="F94" i="1" s="1"/>
  <c r="F96" i="1" s="1"/>
  <c r="E96" i="1"/>
  <c r="F66" i="1"/>
  <c r="F55" i="1"/>
  <c r="G55" i="1" s="1"/>
  <c r="F52" i="1"/>
  <c r="E61" i="1"/>
  <c r="F57" i="1"/>
  <c r="G57" i="1" s="1"/>
  <c r="H57" i="1" s="1"/>
  <c r="G56" i="1"/>
  <c r="G66" i="1" s="1"/>
  <c r="H55" i="1"/>
  <c r="H56" i="1" s="1"/>
  <c r="H66" i="1" s="1"/>
  <c r="E67" i="1"/>
  <c r="E70" i="1" s="1"/>
  <c r="E60" i="1"/>
  <c r="E62" i="1" s="1"/>
  <c r="E69" i="1" s="1"/>
  <c r="E73" i="1" s="1"/>
  <c r="F49" i="1"/>
  <c r="F56" i="1"/>
  <c r="H93" i="1" l="1"/>
  <c r="G93" i="1"/>
  <c r="E74" i="1"/>
  <c r="H61" i="1"/>
  <c r="G52" i="1"/>
  <c r="H52" i="1" s="1"/>
  <c r="G61" i="1"/>
  <c r="G49" i="1"/>
  <c r="F50" i="1"/>
  <c r="F51" i="1" s="1"/>
  <c r="F65" i="1" s="1"/>
  <c r="F61" i="1"/>
  <c r="H96" i="1" l="1"/>
  <c r="G96" i="1"/>
  <c r="D98" i="1"/>
  <c r="D99" i="1"/>
  <c r="F67" i="1"/>
  <c r="F70" i="1" s="1"/>
  <c r="F60" i="1"/>
  <c r="F62" i="1" s="1"/>
  <c r="F69" i="1" s="1"/>
  <c r="F73" i="1" s="1"/>
  <c r="G50" i="1"/>
  <c r="G51" i="1" s="1"/>
  <c r="G65" i="1" s="1"/>
  <c r="G67" i="1" s="1"/>
  <c r="H49" i="1"/>
  <c r="H50" i="1" s="1"/>
  <c r="H51" i="1" s="1"/>
  <c r="H65" i="1" s="1"/>
  <c r="D100" i="1" l="1"/>
  <c r="F74" i="1"/>
  <c r="F75" i="1" s="1"/>
  <c r="F76" i="1"/>
  <c r="H67" i="1"/>
  <c r="H70" i="1" s="1"/>
  <c r="H60" i="1"/>
  <c r="H62" i="1" s="1"/>
  <c r="H69" i="1" s="1"/>
  <c r="H73" i="1" s="1"/>
  <c r="G70" i="1"/>
  <c r="G60" i="1"/>
  <c r="G62" i="1" s="1"/>
  <c r="G69" i="1" s="1"/>
  <c r="G73" i="1" s="1"/>
  <c r="G74" i="1" l="1"/>
  <c r="G75" i="1" s="1"/>
  <c r="G76" i="1"/>
  <c r="H74" i="1"/>
  <c r="H76" i="1" s="1"/>
  <c r="H75" i="1"/>
</calcChain>
</file>

<file path=xl/sharedStrings.xml><?xml version="1.0" encoding="utf-8"?>
<sst xmlns="http://schemas.openxmlformats.org/spreadsheetml/2006/main" count="86" uniqueCount="68">
  <si>
    <t>Chapter 6</t>
  </si>
  <si>
    <t>Goodweek Tires, Inc.</t>
  </si>
  <si>
    <t>Input area:</t>
  </si>
  <si>
    <t>Research and development</t>
  </si>
  <si>
    <t>Test marketing cost</t>
  </si>
  <si>
    <t>Initial equipment cost</t>
  </si>
  <si>
    <t>OEM market:</t>
  </si>
  <si>
    <t>Price</t>
  </si>
  <si>
    <t>Variable cost</t>
  </si>
  <si>
    <t>Automobile production</t>
  </si>
  <si>
    <t>Growth rate</t>
  </si>
  <si>
    <t>Market share</t>
  </si>
  <si>
    <t>Replacement market:</t>
  </si>
  <si>
    <t>Market sales</t>
  </si>
  <si>
    <t>Price increase above inflation</t>
  </si>
  <si>
    <t>VC increase above inflation</t>
  </si>
  <si>
    <t>Marketing and general costs</t>
  </si>
  <si>
    <t xml:space="preserve">Tax rate </t>
  </si>
  <si>
    <t>Inflation rate</t>
  </si>
  <si>
    <t>Required return</t>
  </si>
  <si>
    <t>Initial NWC</t>
  </si>
  <si>
    <t>NWC percentage of sales</t>
  </si>
  <si>
    <t>Year 1 depreciation</t>
  </si>
  <si>
    <t>Year 2 depreciation</t>
  </si>
  <si>
    <t>Year 3 depreciation</t>
  </si>
  <si>
    <t>Year 4 depreciation</t>
  </si>
  <si>
    <t>Output area:</t>
  </si>
  <si>
    <t>Nominal price increase</t>
  </si>
  <si>
    <t>Nominal VC increase</t>
  </si>
  <si>
    <t>Year 0</t>
  </si>
  <si>
    <t>Year 1</t>
  </si>
  <si>
    <t>Year 2</t>
  </si>
  <si>
    <t>Year 3</t>
  </si>
  <si>
    <t>Year 4</t>
  </si>
  <si>
    <t>OEM:</t>
  </si>
  <si>
    <t xml:space="preserve">Automobiles sold </t>
  </si>
  <si>
    <t>Tires for automobiles sold</t>
  </si>
  <si>
    <t>SuperTread tires sold</t>
  </si>
  <si>
    <t>Total tires sold in market</t>
  </si>
  <si>
    <t>Revenue:</t>
  </si>
  <si>
    <t>OEM market</t>
  </si>
  <si>
    <t>Replacement market</t>
  </si>
  <si>
    <t>Total</t>
  </si>
  <si>
    <t>Variable costs:</t>
  </si>
  <si>
    <t>Revenue</t>
  </si>
  <si>
    <t>Variable costs</t>
  </si>
  <si>
    <t>Depreciation</t>
  </si>
  <si>
    <t>EBT</t>
  </si>
  <si>
    <t>Tax</t>
  </si>
  <si>
    <t>Net income</t>
  </si>
  <si>
    <t>OCF</t>
  </si>
  <si>
    <t>New working capital:</t>
  </si>
  <si>
    <t xml:space="preserve">Beginning </t>
  </si>
  <si>
    <t>Ending</t>
  </si>
  <si>
    <t>NWC cash flow</t>
  </si>
  <si>
    <t>Book value of equipment</t>
  </si>
  <si>
    <t>Aftertax salvage value:</t>
  </si>
  <si>
    <t>Market value</t>
  </si>
  <si>
    <t>Taxes</t>
  </si>
  <si>
    <t>Operating cash flow</t>
  </si>
  <si>
    <t>Capital spending</t>
  </si>
  <si>
    <t>Net working capital</t>
  </si>
  <si>
    <t>Total cash flows</t>
  </si>
  <si>
    <t>Discounted cash flow</t>
  </si>
  <si>
    <t>NPV</t>
  </si>
  <si>
    <t>IRR</t>
  </si>
  <si>
    <t>Profitability index</t>
  </si>
  <si>
    <t>Equipment market value in the end of the project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</si>
</sst>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_);_(@_)"/>
    <numFmt numFmtId="165" formatCode="_(* #,##0_);_(* \(#,##0\);_(* &quot;-&quot;??_);_(@_)"/>
    <numFmt numFmtId="166" formatCode="_(&quot;$&quot;* #,##0.000_);_(&quot;$&quot;* \(#,##0.000\);_(&quot;$&quot;* &quot;-&quot;_);_(@_)"/>
    <numFmt numFmtId="167" formatCode="#,##0.0000_);[Red]\(#,##0.0000\)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Arial"/>
      <family val="2"/>
    </font>
    <font>
      <i/>
      <sz val="12"/>
      <name val="Arial"/>
      <family val="2"/>
    </font>
    <font>
      <sz val="10"/>
      <color indexed="48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2"/>
      <color indexed="48"/>
      <name val="Arial"/>
      <family val="2"/>
    </font>
    <font>
      <sz val="10"/>
      <color indexed="8"/>
      <name val="Arial"/>
      <family val="2"/>
    </font>
    <font>
      <sz val="12"/>
      <color indexed="10"/>
      <name val="Arial"/>
      <family val="2"/>
    </font>
    <font>
      <i/>
      <u/>
      <sz val="12"/>
      <color indexed="8"/>
      <name val="Arial"/>
      <family val="2"/>
    </font>
    <font>
      <b/>
      <sz val="12"/>
      <color indexed="57"/>
      <name val="Arial"/>
      <family val="2"/>
    </font>
    <font>
      <sz val="12"/>
      <color rgb="FF5A278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4" fillId="2" borderId="4" xfId="0" applyFont="1" applyFill="1" applyBorder="1"/>
    <xf numFmtId="0" fontId="5" fillId="2" borderId="0" xfId="0" applyFont="1" applyFill="1"/>
    <xf numFmtId="0" fontId="4" fillId="2" borderId="0" xfId="0" applyFont="1" applyFill="1"/>
    <xf numFmtId="0" fontId="0" fillId="2" borderId="0" xfId="0" applyFill="1"/>
    <xf numFmtId="0" fontId="0" fillId="2" borderId="5" xfId="0" applyFill="1" applyBorder="1"/>
    <xf numFmtId="0" fontId="7" fillId="2" borderId="0" xfId="0" applyFont="1" applyFill="1"/>
    <xf numFmtId="9" fontId="6" fillId="2" borderId="0" xfId="1" applyFont="1" applyFill="1" applyBorder="1"/>
    <xf numFmtId="0" fontId="8" fillId="2" borderId="0" xfId="0" applyFont="1" applyFill="1"/>
    <xf numFmtId="41" fontId="6" fillId="2" borderId="0" xfId="1" applyNumberFormat="1" applyFont="1" applyFill="1" applyBorder="1"/>
    <xf numFmtId="41" fontId="6" fillId="2" borderId="0" xfId="0" applyNumberFormat="1" applyFont="1" applyFill="1"/>
    <xf numFmtId="41" fontId="4" fillId="2" borderId="0" xfId="0" applyNumberFormat="1" applyFont="1" applyFill="1"/>
    <xf numFmtId="41" fontId="0" fillId="2" borderId="0" xfId="0" applyNumberFormat="1" applyFill="1"/>
    <xf numFmtId="0" fontId="4" fillId="2" borderId="6" xfId="0" applyFont="1" applyFill="1" applyBorder="1"/>
    <xf numFmtId="0" fontId="7" fillId="2" borderId="7" xfId="0" applyFont="1" applyFill="1" applyBorder="1"/>
    <xf numFmtId="1" fontId="9" fillId="2" borderId="7" xfId="0" applyNumberFormat="1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0" fillId="3" borderId="1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0" fontId="10" fillId="0" borderId="0" xfId="0" applyFont="1"/>
    <xf numFmtId="0" fontId="10" fillId="3" borderId="4" xfId="0" applyFont="1" applyFill="1" applyBorder="1"/>
    <xf numFmtId="0" fontId="7" fillId="3" borderId="0" xfId="0" applyFont="1" applyFill="1"/>
    <xf numFmtId="10" fontId="11" fillId="3" borderId="0" xfId="0" applyNumberFormat="1" applyFont="1" applyFill="1"/>
    <xf numFmtId="44" fontId="11" fillId="3" borderId="0" xfId="0" applyNumberFormat="1" applyFont="1" applyFill="1"/>
    <xf numFmtId="0" fontId="10" fillId="3" borderId="5" xfId="0" applyFont="1" applyFill="1" applyBorder="1"/>
    <xf numFmtId="0" fontId="10" fillId="3" borderId="0" xfId="0" applyFont="1" applyFill="1"/>
    <xf numFmtId="0" fontId="8" fillId="3" borderId="0" xfId="0" applyFont="1" applyFill="1"/>
    <xf numFmtId="0" fontId="12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11" fillId="3" borderId="0" xfId="0" applyFont="1" applyFill="1"/>
    <xf numFmtId="164" fontId="11" fillId="3" borderId="0" xfId="0" applyNumberFormat="1" applyFont="1" applyFill="1"/>
    <xf numFmtId="0" fontId="5" fillId="3" borderId="0" xfId="0" applyFont="1" applyFill="1" applyAlignment="1">
      <alignment horizontal="left"/>
    </xf>
    <xf numFmtId="165" fontId="11" fillId="3" borderId="0" xfId="0" applyNumberFormat="1" applyFont="1" applyFill="1"/>
    <xf numFmtId="43" fontId="11" fillId="3" borderId="0" xfId="0" applyNumberFormat="1" applyFont="1" applyFill="1"/>
    <xf numFmtId="41" fontId="11" fillId="3" borderId="0" xfId="0" applyNumberFormat="1" applyFont="1" applyFill="1"/>
    <xf numFmtId="42" fontId="11" fillId="3" borderId="0" xfId="0" applyNumberFormat="1" applyFont="1" applyFill="1"/>
    <xf numFmtId="41" fontId="11" fillId="3" borderId="9" xfId="0" applyNumberFormat="1" applyFont="1" applyFill="1" applyBorder="1"/>
    <xf numFmtId="10" fontId="13" fillId="3" borderId="10" xfId="0" applyNumberFormat="1" applyFont="1" applyFill="1" applyBorder="1"/>
    <xf numFmtId="166" fontId="11" fillId="3" borderId="0" xfId="0" applyNumberFormat="1" applyFont="1" applyFill="1"/>
    <xf numFmtId="167" fontId="13" fillId="3" borderId="10" xfId="0" applyNumberFormat="1" applyFont="1" applyFill="1" applyBorder="1"/>
    <xf numFmtId="0" fontId="10" fillId="3" borderId="6" xfId="0" applyFont="1" applyFill="1" applyBorder="1"/>
    <xf numFmtId="0" fontId="7" fillId="3" borderId="7" xfId="0" applyFont="1" applyFill="1" applyBorder="1"/>
    <xf numFmtId="0" fontId="10" fillId="3" borderId="8" xfId="0" applyFont="1" applyFill="1" applyBorder="1"/>
    <xf numFmtId="42" fontId="0" fillId="0" borderId="0" xfId="0" applyNumberFormat="1"/>
    <xf numFmtId="164" fontId="0" fillId="0" borderId="0" xfId="0" applyNumberFormat="1"/>
    <xf numFmtId="37" fontId="11" fillId="3" borderId="9" xfId="0" applyNumberFormat="1" applyFont="1" applyFill="1" applyBorder="1"/>
    <xf numFmtId="0" fontId="0" fillId="4" borderId="0" xfId="0" applyFill="1"/>
    <xf numFmtId="44" fontId="11" fillId="3" borderId="9" xfId="2" applyFont="1" applyFill="1" applyBorder="1"/>
    <xf numFmtId="44" fontId="11" fillId="3" borderId="0" xfId="2" applyFont="1" applyFill="1"/>
    <xf numFmtId="8" fontId="13" fillId="3" borderId="10" xfId="0" applyNumberFormat="1" applyFont="1" applyFill="1" applyBorder="1"/>
    <xf numFmtId="10" fontId="6" fillId="5" borderId="0" xfId="1" applyNumberFormat="1" applyFont="1" applyFill="1" applyBorder="1"/>
    <xf numFmtId="42" fontId="6" fillId="5" borderId="0" xfId="1" applyNumberFormat="1" applyFont="1" applyFill="1" applyBorder="1"/>
    <xf numFmtId="9" fontId="6" fillId="5" borderId="0" xfId="1" applyFont="1" applyFill="1" applyBorder="1"/>
    <xf numFmtId="41" fontId="6" fillId="5" borderId="0" xfId="1" applyNumberFormat="1" applyFont="1" applyFill="1" applyBorder="1"/>
    <xf numFmtId="42" fontId="14" fillId="5" borderId="0" xfId="1" applyNumberFormat="1" applyFont="1" applyFill="1" applyBorder="1"/>
    <xf numFmtId="42" fontId="6" fillId="5" borderId="0" xfId="0" applyNumberFormat="1" applyFont="1" applyFill="1"/>
    <xf numFmtId="0" fontId="2" fillId="0" borderId="0" xfId="0" applyFont="1" applyAlignment="1">
      <alignment horizontal="lef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Medium7"/>
  <colors>
    <mruColors>
      <color rgb="FF5A2784"/>
      <color rgb="FF5F2A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tabSelected="1" topLeftCell="B74" zoomScale="74" workbookViewId="0">
      <selection activeCell="G95" sqref="G95"/>
    </sheetView>
  </sheetViews>
  <sheetFormatPr defaultColWidth="10.6640625" defaultRowHeight="15.5" x14ac:dyDescent="0.35"/>
  <cols>
    <col min="2" max="2" width="3.1640625" customWidth="1"/>
    <col min="3" max="3" width="52.5" customWidth="1"/>
    <col min="4" max="4" width="19.5" bestFit="1" customWidth="1"/>
    <col min="5" max="8" width="18.83203125" bestFit="1" customWidth="1"/>
    <col min="9" max="9" width="3.1640625" customWidth="1"/>
  </cols>
  <sheetData>
    <row r="1" spans="2:8" ht="18" x14ac:dyDescent="0.4">
      <c r="C1" s="1" t="s">
        <v>0</v>
      </c>
    </row>
    <row r="2" spans="2:8" ht="18" x14ac:dyDescent="0.4">
      <c r="C2" s="65" t="s">
        <v>1</v>
      </c>
      <c r="D2" s="65"/>
      <c r="E2" s="65"/>
      <c r="F2" s="65"/>
    </row>
    <row r="4" spans="2:8" x14ac:dyDescent="0.35">
      <c r="C4" s="2" t="s">
        <v>2</v>
      </c>
    </row>
    <row r="5" spans="2:8" ht="16" thickBot="1" x14ac:dyDescent="0.4"/>
    <row r="6" spans="2:8" x14ac:dyDescent="0.35">
      <c r="B6" s="3"/>
      <c r="C6" s="4"/>
      <c r="D6" s="4"/>
      <c r="E6" s="4"/>
      <c r="F6" s="5"/>
      <c r="G6" s="5"/>
      <c r="H6" s="6"/>
    </row>
    <row r="7" spans="2:8" x14ac:dyDescent="0.35">
      <c r="B7" s="7"/>
      <c r="C7" s="8" t="s">
        <v>3</v>
      </c>
      <c r="D7" s="64">
        <v>10000000</v>
      </c>
      <c r="E7" s="9"/>
      <c r="F7" s="10"/>
      <c r="G7" s="10"/>
      <c r="H7" s="11"/>
    </row>
    <row r="8" spans="2:8" x14ac:dyDescent="0.35">
      <c r="B8" s="7"/>
      <c r="C8" s="8" t="s">
        <v>4</v>
      </c>
      <c r="D8" s="64">
        <v>5000000</v>
      </c>
      <c r="E8" s="9"/>
      <c r="F8" s="10"/>
      <c r="G8" s="10"/>
      <c r="H8" s="11"/>
    </row>
    <row r="9" spans="2:8" x14ac:dyDescent="0.35">
      <c r="B9" s="7"/>
      <c r="C9" s="8" t="s">
        <v>5</v>
      </c>
      <c r="D9" s="64">
        <v>185000000</v>
      </c>
      <c r="E9" s="9"/>
      <c r="F9" s="10"/>
      <c r="G9" s="10"/>
      <c r="H9" s="11"/>
    </row>
    <row r="10" spans="2:8" x14ac:dyDescent="0.35">
      <c r="B10" s="7"/>
      <c r="C10" s="12" t="s">
        <v>67</v>
      </c>
      <c r="D10" s="64">
        <v>75000000</v>
      </c>
      <c r="E10" s="9"/>
      <c r="F10" s="10"/>
      <c r="G10" s="10"/>
      <c r="H10" s="11"/>
    </row>
    <row r="11" spans="2:8" x14ac:dyDescent="0.35">
      <c r="B11" s="7"/>
      <c r="C11" s="12"/>
      <c r="D11" s="13"/>
      <c r="E11" s="9"/>
      <c r="F11" s="10"/>
      <c r="G11" s="10"/>
      <c r="H11" s="11"/>
    </row>
    <row r="12" spans="2:8" x14ac:dyDescent="0.35">
      <c r="B12" s="7"/>
      <c r="C12" s="14" t="s">
        <v>6</v>
      </c>
      <c r="D12" s="15"/>
      <c r="E12" s="16"/>
      <c r="F12" s="16"/>
      <c r="G12" s="16"/>
      <c r="H12" s="11"/>
    </row>
    <row r="13" spans="2:8" x14ac:dyDescent="0.35">
      <c r="B13" s="7"/>
      <c r="C13" s="12" t="s">
        <v>7</v>
      </c>
      <c r="D13" s="60">
        <v>43</v>
      </c>
      <c r="E13" s="16"/>
      <c r="F13" s="16"/>
      <c r="G13" s="16"/>
      <c r="H13" s="11"/>
    </row>
    <row r="14" spans="2:8" x14ac:dyDescent="0.35">
      <c r="B14" s="7"/>
      <c r="C14" s="12" t="s">
        <v>8</v>
      </c>
      <c r="D14" s="60">
        <v>31</v>
      </c>
      <c r="E14" s="16"/>
      <c r="F14" s="16"/>
      <c r="G14" s="16"/>
      <c r="H14" s="11"/>
    </row>
    <row r="15" spans="2:8" x14ac:dyDescent="0.35">
      <c r="B15" s="7"/>
      <c r="C15" s="12" t="s">
        <v>9</v>
      </c>
      <c r="D15" s="62">
        <v>8500000</v>
      </c>
      <c r="E15" s="16"/>
      <c r="F15" s="16"/>
      <c r="G15" s="16"/>
      <c r="H15" s="11"/>
    </row>
    <row r="16" spans="2:8" x14ac:dyDescent="0.35">
      <c r="B16" s="7"/>
      <c r="C16" s="12" t="s">
        <v>10</v>
      </c>
      <c r="D16" s="59">
        <v>2.5000000000000001E-2</v>
      </c>
      <c r="E16" s="16"/>
      <c r="F16" s="16"/>
      <c r="G16" s="16"/>
      <c r="H16" s="11"/>
    </row>
    <row r="17" spans="2:8" x14ac:dyDescent="0.35">
      <c r="B17" s="7"/>
      <c r="C17" s="12" t="s">
        <v>11</v>
      </c>
      <c r="D17" s="59">
        <v>0.11</v>
      </c>
      <c r="E17" s="16"/>
      <c r="F17" s="16"/>
      <c r="G17" s="16"/>
      <c r="H17" s="11"/>
    </row>
    <row r="18" spans="2:8" x14ac:dyDescent="0.35">
      <c r="B18" s="7"/>
      <c r="C18" s="12"/>
      <c r="D18" s="15"/>
      <c r="E18" s="16"/>
      <c r="F18" s="16"/>
      <c r="G18" s="16"/>
      <c r="H18" s="11"/>
    </row>
    <row r="19" spans="2:8" x14ac:dyDescent="0.35">
      <c r="B19" s="7"/>
      <c r="C19" s="14" t="s">
        <v>12</v>
      </c>
      <c r="D19" s="15"/>
      <c r="E19" s="16"/>
      <c r="F19" s="16"/>
      <c r="G19" s="16"/>
      <c r="H19" s="11"/>
    </row>
    <row r="20" spans="2:8" x14ac:dyDescent="0.35">
      <c r="B20" s="7"/>
      <c r="C20" s="12" t="s">
        <v>7</v>
      </c>
      <c r="D20" s="60">
        <v>64</v>
      </c>
      <c r="E20" s="16"/>
      <c r="F20" s="16"/>
      <c r="G20" s="16"/>
      <c r="H20" s="11"/>
    </row>
    <row r="21" spans="2:8" x14ac:dyDescent="0.35">
      <c r="B21" s="7"/>
      <c r="C21" s="12" t="s">
        <v>8</v>
      </c>
      <c r="D21" s="63">
        <v>31</v>
      </c>
      <c r="E21" s="16"/>
      <c r="F21" s="16"/>
      <c r="G21" s="16"/>
      <c r="H21" s="11"/>
    </row>
    <row r="22" spans="2:8" x14ac:dyDescent="0.35">
      <c r="B22" s="7"/>
      <c r="C22" s="12" t="s">
        <v>13</v>
      </c>
      <c r="D22" s="62">
        <v>35000000</v>
      </c>
      <c r="E22" s="16"/>
      <c r="F22" s="16"/>
      <c r="G22" s="16"/>
      <c r="H22" s="11"/>
    </row>
    <row r="23" spans="2:8" x14ac:dyDescent="0.35">
      <c r="B23" s="7"/>
      <c r="C23" s="12" t="s">
        <v>10</v>
      </c>
      <c r="D23" s="59">
        <v>0.02</v>
      </c>
      <c r="E23" s="16"/>
      <c r="F23" s="16"/>
      <c r="G23" s="16"/>
      <c r="H23" s="11"/>
    </row>
    <row r="24" spans="2:8" x14ac:dyDescent="0.35">
      <c r="B24" s="7"/>
      <c r="C24" s="12" t="s">
        <v>11</v>
      </c>
      <c r="D24" s="59">
        <v>0.08</v>
      </c>
      <c r="E24" s="16"/>
      <c r="F24" s="16"/>
      <c r="G24" s="16"/>
      <c r="H24" s="11"/>
    </row>
    <row r="25" spans="2:8" x14ac:dyDescent="0.35">
      <c r="B25" s="7"/>
      <c r="C25" s="12"/>
      <c r="D25" s="15"/>
      <c r="E25" s="16"/>
      <c r="F25" s="16"/>
      <c r="G25" s="16"/>
      <c r="H25" s="11"/>
    </row>
    <row r="26" spans="2:8" x14ac:dyDescent="0.35">
      <c r="B26" s="7"/>
      <c r="C26" s="12" t="s">
        <v>16</v>
      </c>
      <c r="D26" s="60">
        <v>53000000</v>
      </c>
      <c r="E26" s="16"/>
      <c r="F26" s="16"/>
      <c r="G26" s="16"/>
      <c r="H26" s="11"/>
    </row>
    <row r="27" spans="2:8" x14ac:dyDescent="0.35">
      <c r="B27" s="7"/>
      <c r="C27" s="12" t="s">
        <v>17</v>
      </c>
      <c r="D27" s="59">
        <v>0.23</v>
      </c>
      <c r="E27" s="16"/>
      <c r="F27" s="16"/>
      <c r="G27" s="16"/>
      <c r="H27" s="11"/>
    </row>
    <row r="28" spans="2:8" x14ac:dyDescent="0.35">
      <c r="B28" s="7"/>
      <c r="C28" s="12" t="s">
        <v>18</v>
      </c>
      <c r="D28" s="59">
        <v>3.2500000000000001E-2</v>
      </c>
      <c r="E28" s="16"/>
      <c r="F28" s="16"/>
      <c r="G28" s="16"/>
      <c r="H28" s="11"/>
    </row>
    <row r="29" spans="2:8" x14ac:dyDescent="0.35">
      <c r="B29" s="7"/>
      <c r="C29" s="12" t="s">
        <v>14</v>
      </c>
      <c r="D29" s="61">
        <v>0.01</v>
      </c>
      <c r="E29" s="16"/>
      <c r="F29" s="16"/>
      <c r="G29" s="16"/>
      <c r="H29" s="11"/>
    </row>
    <row r="30" spans="2:8" x14ac:dyDescent="0.35">
      <c r="B30" s="7"/>
      <c r="C30" s="12" t="s">
        <v>15</v>
      </c>
      <c r="D30" s="61">
        <v>0.01</v>
      </c>
      <c r="E30" s="16"/>
      <c r="F30" s="16"/>
      <c r="G30" s="16"/>
      <c r="H30" s="11"/>
    </row>
    <row r="31" spans="2:8" x14ac:dyDescent="0.35">
      <c r="B31" s="7"/>
      <c r="C31" s="30" t="s">
        <v>27</v>
      </c>
      <c r="D31" s="31">
        <f>((1+D29)*(1+D28))-1</f>
        <v>4.2824999999999891E-2</v>
      </c>
      <c r="E31" s="16"/>
      <c r="F31" s="16"/>
      <c r="G31" s="16"/>
      <c r="H31" s="11"/>
    </row>
    <row r="32" spans="2:8" x14ac:dyDescent="0.35">
      <c r="B32" s="7"/>
      <c r="C32" s="30" t="s">
        <v>28</v>
      </c>
      <c r="D32" s="31">
        <f>((1+D29)*(1+D28))-1</f>
        <v>4.2824999999999891E-2</v>
      </c>
      <c r="E32" s="16"/>
      <c r="F32" s="16"/>
      <c r="G32" s="16"/>
      <c r="H32" s="11"/>
    </row>
    <row r="33" spans="2:10" x14ac:dyDescent="0.35">
      <c r="B33" s="7"/>
      <c r="C33" s="12" t="s">
        <v>19</v>
      </c>
      <c r="D33" s="59">
        <v>0.13400000000000001</v>
      </c>
      <c r="E33" s="16"/>
      <c r="F33" s="16"/>
      <c r="G33" s="16"/>
      <c r="H33" s="11"/>
    </row>
    <row r="34" spans="2:10" x14ac:dyDescent="0.35">
      <c r="B34" s="7"/>
      <c r="C34" s="12" t="s">
        <v>20</v>
      </c>
      <c r="D34" s="64">
        <v>10000000</v>
      </c>
      <c r="E34" s="16"/>
      <c r="F34" s="16"/>
      <c r="G34" s="16"/>
      <c r="H34" s="11"/>
    </row>
    <row r="35" spans="2:10" x14ac:dyDescent="0.35">
      <c r="B35" s="7"/>
      <c r="C35" s="12" t="s">
        <v>21</v>
      </c>
      <c r="D35" s="61">
        <v>0.15</v>
      </c>
      <c r="E35" s="17"/>
      <c r="F35" s="18"/>
      <c r="G35" s="18"/>
      <c r="H35" s="11"/>
    </row>
    <row r="36" spans="2:10" x14ac:dyDescent="0.35">
      <c r="B36" s="7"/>
      <c r="C36" s="12"/>
      <c r="D36" s="13"/>
      <c r="E36" s="17"/>
      <c r="F36" s="18"/>
      <c r="G36" s="18"/>
      <c r="H36" s="11"/>
    </row>
    <row r="37" spans="2:10" x14ac:dyDescent="0.35">
      <c r="B37" s="7"/>
      <c r="C37" s="12" t="s">
        <v>22</v>
      </c>
      <c r="D37" s="59">
        <v>0.1429</v>
      </c>
      <c r="E37" s="9"/>
      <c r="F37" s="10"/>
      <c r="G37" s="10"/>
      <c r="H37" s="11"/>
    </row>
    <row r="38" spans="2:10" x14ac:dyDescent="0.35">
      <c r="B38" s="7"/>
      <c r="C38" s="12" t="s">
        <v>23</v>
      </c>
      <c r="D38" s="59">
        <v>0.24490000000000001</v>
      </c>
      <c r="E38" s="9"/>
      <c r="F38" s="10"/>
      <c r="G38" s="10"/>
      <c r="H38" s="11"/>
    </row>
    <row r="39" spans="2:10" x14ac:dyDescent="0.35">
      <c r="B39" s="7"/>
      <c r="C39" s="12" t="s">
        <v>24</v>
      </c>
      <c r="D39" s="59">
        <v>0.1749</v>
      </c>
      <c r="E39" s="9"/>
      <c r="F39" s="10"/>
      <c r="G39" s="10"/>
      <c r="H39" s="11"/>
    </row>
    <row r="40" spans="2:10" x14ac:dyDescent="0.35">
      <c r="B40" s="7"/>
      <c r="C40" s="12" t="s">
        <v>25</v>
      </c>
      <c r="D40" s="59">
        <v>0.1249</v>
      </c>
      <c r="E40" s="9"/>
      <c r="F40" s="10"/>
      <c r="G40" s="10"/>
      <c r="H40" s="11"/>
    </row>
    <row r="41" spans="2:10" ht="16" thickBot="1" x14ac:dyDescent="0.4">
      <c r="B41" s="19"/>
      <c r="C41" s="20"/>
      <c r="D41" s="21"/>
      <c r="E41" s="22"/>
      <c r="F41" s="23"/>
      <c r="G41" s="23"/>
      <c r="H41" s="24"/>
    </row>
    <row r="42" spans="2:10" x14ac:dyDescent="0.35">
      <c r="G42" s="55"/>
    </row>
    <row r="43" spans="2:10" x14ac:dyDescent="0.35">
      <c r="C43" s="2" t="s">
        <v>26</v>
      </c>
    </row>
    <row r="44" spans="2:10" ht="16" thickBot="1" x14ac:dyDescent="0.4"/>
    <row r="45" spans="2:10" x14ac:dyDescent="0.35">
      <c r="B45" s="25"/>
      <c r="C45" s="26"/>
      <c r="D45" s="26"/>
      <c r="E45" s="26"/>
      <c r="F45" s="26"/>
      <c r="G45" s="26"/>
      <c r="H45" s="26"/>
      <c r="I45" s="27"/>
      <c r="J45" s="28"/>
    </row>
    <row r="46" spans="2:10" x14ac:dyDescent="0.35">
      <c r="B46" s="29"/>
      <c r="C46" s="34"/>
      <c r="D46" s="34"/>
      <c r="E46" s="34"/>
      <c r="F46" s="34"/>
      <c r="G46" s="34"/>
      <c r="H46" s="34"/>
      <c r="I46" s="33"/>
      <c r="J46" s="28"/>
    </row>
    <row r="47" spans="2:10" x14ac:dyDescent="0.35">
      <c r="B47" s="29"/>
      <c r="C47" s="35"/>
      <c r="D47" s="36" t="s">
        <v>29</v>
      </c>
      <c r="E47" s="36" t="s">
        <v>30</v>
      </c>
      <c r="F47" s="36" t="s">
        <v>31</v>
      </c>
      <c r="G47" s="36" t="s">
        <v>32</v>
      </c>
      <c r="H47" s="36" t="s">
        <v>33</v>
      </c>
      <c r="I47" s="33"/>
      <c r="J47" s="28"/>
    </row>
    <row r="48" spans="2:10" x14ac:dyDescent="0.35">
      <c r="B48" s="29"/>
      <c r="C48" s="37" t="s">
        <v>34</v>
      </c>
      <c r="D48" s="38"/>
      <c r="E48" s="39"/>
      <c r="F48" s="39"/>
      <c r="G48" s="39"/>
      <c r="H48" s="39"/>
      <c r="I48" s="33"/>
      <c r="J48" s="28"/>
    </row>
    <row r="49" spans="2:10" x14ac:dyDescent="0.35">
      <c r="B49" s="29"/>
      <c r="C49" s="40" t="s">
        <v>35</v>
      </c>
      <c r="D49" s="38"/>
      <c r="E49" s="41">
        <f>D15</f>
        <v>8500000</v>
      </c>
      <c r="F49" s="41">
        <f>E49*(1+$D$16)</f>
        <v>8712500</v>
      </c>
      <c r="G49" s="41">
        <f t="shared" ref="G49:H49" si="0">F49*(1+$D$16)</f>
        <v>8930312.5</v>
      </c>
      <c r="H49" s="41">
        <f t="shared" si="0"/>
        <v>9153570.3125</v>
      </c>
      <c r="I49" s="33"/>
      <c r="J49" s="28"/>
    </row>
    <row r="50" spans="2:10" x14ac:dyDescent="0.35">
      <c r="B50" s="29"/>
      <c r="C50" s="40" t="s">
        <v>36</v>
      </c>
      <c r="D50" s="38"/>
      <c r="E50" s="41">
        <f>E49*4</f>
        <v>34000000</v>
      </c>
      <c r="F50" s="41">
        <f>F49*4</f>
        <v>34850000</v>
      </c>
      <c r="G50" s="41">
        <f t="shared" ref="G50:H50" si="1">G49*4</f>
        <v>35721250</v>
      </c>
      <c r="H50" s="41">
        <f t="shared" si="1"/>
        <v>36614281.25</v>
      </c>
      <c r="I50" s="33"/>
      <c r="J50" s="28"/>
    </row>
    <row r="51" spans="2:10" x14ac:dyDescent="0.35">
      <c r="B51" s="29"/>
      <c r="C51" s="40" t="s">
        <v>37</v>
      </c>
      <c r="D51" s="38"/>
      <c r="E51" s="41">
        <f>$D$17*E50</f>
        <v>3740000</v>
      </c>
      <c r="F51" s="41">
        <f t="shared" ref="F51:H51" si="2">$D$17*F50</f>
        <v>3833500</v>
      </c>
      <c r="G51" s="41">
        <f t="shared" si="2"/>
        <v>3929337.5</v>
      </c>
      <c r="H51" s="41">
        <f t="shared" si="2"/>
        <v>4027570.9375</v>
      </c>
      <c r="I51" s="33"/>
      <c r="J51" s="28"/>
    </row>
    <row r="52" spans="2:10" x14ac:dyDescent="0.35">
      <c r="B52" s="29"/>
      <c r="C52" s="40" t="s">
        <v>7</v>
      </c>
      <c r="D52" s="38"/>
      <c r="E52" s="32">
        <f>$D$13</f>
        <v>43</v>
      </c>
      <c r="F52" s="32">
        <f>E52*(1+$D$31)</f>
        <v>44.841474999999996</v>
      </c>
      <c r="G52" s="32">
        <f>F52*(1+$D$31)</f>
        <v>46.761811166874992</v>
      </c>
      <c r="H52" s="32">
        <f>G52*(1+$D$31)</f>
        <v>48.764385730096407</v>
      </c>
      <c r="I52" s="33"/>
      <c r="J52" s="28"/>
    </row>
    <row r="53" spans="2:10" x14ac:dyDescent="0.35">
      <c r="B53" s="29"/>
      <c r="C53" s="40"/>
      <c r="D53" s="38"/>
      <c r="E53" s="39"/>
      <c r="F53" s="39"/>
      <c r="G53" s="39"/>
      <c r="H53" s="39"/>
      <c r="I53" s="33"/>
      <c r="J53" s="28"/>
    </row>
    <row r="54" spans="2:10" x14ac:dyDescent="0.35">
      <c r="B54" s="29"/>
      <c r="C54" s="37" t="s">
        <v>12</v>
      </c>
      <c r="D54" s="38"/>
      <c r="E54" s="42"/>
      <c r="F54" s="42"/>
      <c r="G54" s="42"/>
      <c r="H54" s="42"/>
      <c r="I54" s="33"/>
      <c r="J54" s="28"/>
    </row>
    <row r="55" spans="2:10" x14ac:dyDescent="0.35">
      <c r="B55" s="29"/>
      <c r="C55" s="40" t="s">
        <v>38</v>
      </c>
      <c r="D55" s="38"/>
      <c r="E55" s="43">
        <f>D22</f>
        <v>35000000</v>
      </c>
      <c r="F55" s="43">
        <f>E55*(1+$D$23)</f>
        <v>35700000</v>
      </c>
      <c r="G55" s="43">
        <f t="shared" ref="G55:H55" si="3">F55*(1+$D$23)</f>
        <v>36414000</v>
      </c>
      <c r="H55" s="43">
        <f t="shared" si="3"/>
        <v>37142280</v>
      </c>
      <c r="I55" s="33"/>
      <c r="J55" s="28"/>
    </row>
    <row r="56" spans="2:10" x14ac:dyDescent="0.35">
      <c r="B56" s="29"/>
      <c r="C56" s="40" t="s">
        <v>37</v>
      </c>
      <c r="D56" s="38"/>
      <c r="E56" s="43">
        <f>$D$24*E55</f>
        <v>2800000</v>
      </c>
      <c r="F56" s="43">
        <f t="shared" ref="F56:H56" si="4">$D$24*F55</f>
        <v>2856000</v>
      </c>
      <c r="G56" s="43">
        <f t="shared" si="4"/>
        <v>2913120</v>
      </c>
      <c r="H56" s="43">
        <f t="shared" si="4"/>
        <v>2971382.4</v>
      </c>
      <c r="I56" s="33"/>
      <c r="J56" s="28"/>
    </row>
    <row r="57" spans="2:10" x14ac:dyDescent="0.35">
      <c r="B57" s="29"/>
      <c r="C57" s="40" t="s">
        <v>7</v>
      </c>
      <c r="D57" s="38"/>
      <c r="E57" s="32">
        <f>$D$20</f>
        <v>64</v>
      </c>
      <c r="F57" s="32">
        <f>E57*(1+$D$31)</f>
        <v>66.740799999999993</v>
      </c>
      <c r="G57" s="32">
        <f>F57*(1+$D$31)</f>
        <v>69.59897475999999</v>
      </c>
      <c r="H57" s="32">
        <f t="shared" ref="H57" si="5">G57*(1+$D$31)</f>
        <v>72.579550854096979</v>
      </c>
      <c r="I57" s="33"/>
      <c r="J57" s="28"/>
    </row>
    <row r="58" spans="2:10" x14ac:dyDescent="0.35">
      <c r="B58" s="29"/>
      <c r="C58" s="40"/>
      <c r="D58" s="38"/>
      <c r="E58" s="43"/>
      <c r="F58" s="43"/>
      <c r="G58" s="43"/>
      <c r="H58" s="43"/>
      <c r="I58" s="33"/>
      <c r="J58" s="28"/>
    </row>
    <row r="59" spans="2:10" x14ac:dyDescent="0.35">
      <c r="B59" s="29"/>
      <c r="C59" s="37" t="s">
        <v>39</v>
      </c>
      <c r="D59" s="38"/>
      <c r="E59" s="43"/>
      <c r="F59" s="43"/>
      <c r="G59" s="43"/>
      <c r="H59" s="43"/>
      <c r="I59" s="33"/>
      <c r="J59" s="28"/>
    </row>
    <row r="60" spans="2:10" x14ac:dyDescent="0.35">
      <c r="B60" s="29"/>
      <c r="C60" s="40" t="s">
        <v>40</v>
      </c>
      <c r="D60" s="38"/>
      <c r="E60" s="44">
        <f>E52*E51</f>
        <v>160820000</v>
      </c>
      <c r="F60" s="44">
        <f>F52*F51</f>
        <v>171899794.41249999</v>
      </c>
      <c r="G60" s="44">
        <f t="shared" ref="G60:H60" si="6">G52*G51</f>
        <v>183742938.18592066</v>
      </c>
      <c r="H60" s="44">
        <f t="shared" si="6"/>
        <v>196402022.75157601</v>
      </c>
      <c r="I60" s="33"/>
      <c r="J60" s="28"/>
    </row>
    <row r="61" spans="2:10" x14ac:dyDescent="0.35">
      <c r="B61" s="29"/>
      <c r="C61" s="40" t="s">
        <v>41</v>
      </c>
      <c r="D61" s="38"/>
      <c r="E61" s="45">
        <f>E57*E56</f>
        <v>179200000</v>
      </c>
      <c r="F61" s="45">
        <f>F57*F56</f>
        <v>190611724.79999998</v>
      </c>
      <c r="G61" s="45">
        <f>G57*G56</f>
        <v>202750165.35285118</v>
      </c>
      <c r="H61" s="45">
        <f>H57*H56</f>
        <v>215661600.00776872</v>
      </c>
      <c r="I61" s="33"/>
      <c r="J61" s="28"/>
    </row>
    <row r="62" spans="2:10" x14ac:dyDescent="0.35">
      <c r="B62" s="29"/>
      <c r="C62" s="40" t="s">
        <v>42</v>
      </c>
      <c r="D62" s="38"/>
      <c r="E62" s="44">
        <f>E60+E61</f>
        <v>340020000</v>
      </c>
      <c r="F62" s="44">
        <f t="shared" ref="F62:H62" si="7">F60+F61</f>
        <v>362511519.21249998</v>
      </c>
      <c r="G62" s="44">
        <f t="shared" si="7"/>
        <v>386493103.53877187</v>
      </c>
      <c r="H62" s="44">
        <f t="shared" si="7"/>
        <v>412063622.7593447</v>
      </c>
      <c r="I62" s="33"/>
      <c r="J62" s="28"/>
    </row>
    <row r="63" spans="2:10" x14ac:dyDescent="0.35">
      <c r="B63" s="29"/>
      <c r="C63" s="40"/>
      <c r="D63" s="38"/>
      <c r="E63" s="43"/>
      <c r="F63" s="43"/>
      <c r="G63" s="43"/>
      <c r="H63" s="43"/>
      <c r="I63" s="33"/>
      <c r="J63" s="28"/>
    </row>
    <row r="64" spans="2:10" x14ac:dyDescent="0.35">
      <c r="B64" s="29"/>
      <c r="C64" s="37" t="s">
        <v>43</v>
      </c>
      <c r="D64" s="38"/>
      <c r="E64" s="43"/>
      <c r="F64" s="43"/>
      <c r="G64" s="43"/>
      <c r="H64" s="43"/>
      <c r="I64" s="33"/>
      <c r="J64" s="28"/>
    </row>
    <row r="65" spans="2:10" x14ac:dyDescent="0.35">
      <c r="B65" s="29"/>
      <c r="C65" s="40" t="s">
        <v>40</v>
      </c>
      <c r="D65" s="38"/>
      <c r="E65" s="44">
        <f>$D$14*E51</f>
        <v>115940000</v>
      </c>
      <c r="F65" s="44">
        <f>$D$14*(1+$D$32)*F51</f>
        <v>123927758.76249999</v>
      </c>
      <c r="G65" s="44">
        <f>$D$14*(1+$D$32)^2*G51</f>
        <v>132465839.15729164</v>
      </c>
      <c r="H65" s="44">
        <f>$D$14*(1+$D$32)^3*H51</f>
        <v>141592155.93718272</v>
      </c>
      <c r="I65" s="33"/>
      <c r="J65" s="28"/>
    </row>
    <row r="66" spans="2:10" x14ac:dyDescent="0.35">
      <c r="B66" s="29"/>
      <c r="C66" s="40" t="s">
        <v>41</v>
      </c>
      <c r="D66" s="38"/>
      <c r="E66" s="56">
        <f>$D$21*E56</f>
        <v>86800000</v>
      </c>
      <c r="F66" s="56">
        <f>$D$21*(1+$D$32)*F56</f>
        <v>92327554.199999988</v>
      </c>
      <c r="G66" s="56">
        <f>$D$21*(1+$D$32)^2*G56</f>
        <v>98207111.342787281</v>
      </c>
      <c r="H66" s="56">
        <f>$D$21*(1+$D$32)^3*H56</f>
        <v>104461087.50376298</v>
      </c>
      <c r="I66" s="33"/>
      <c r="J66" s="28"/>
    </row>
    <row r="67" spans="2:10" x14ac:dyDescent="0.35">
      <c r="B67" s="29"/>
      <c r="C67" s="40" t="s">
        <v>42</v>
      </c>
      <c r="D67" s="38"/>
      <c r="E67" s="44">
        <f>E65+E66</f>
        <v>202740000</v>
      </c>
      <c r="F67" s="44">
        <f t="shared" ref="F67:H67" si="8">F65+F66</f>
        <v>216255312.96249998</v>
      </c>
      <c r="G67" s="44">
        <f>G65+G66</f>
        <v>230672950.50007892</v>
      </c>
      <c r="H67" s="44">
        <f t="shared" si="8"/>
        <v>246053243.44094568</v>
      </c>
      <c r="I67" s="33"/>
      <c r="J67" s="28"/>
    </row>
    <row r="68" spans="2:10" x14ac:dyDescent="0.35">
      <c r="B68" s="29"/>
      <c r="C68" s="40"/>
      <c r="D68" s="38"/>
      <c r="E68" s="43"/>
      <c r="F68" s="43"/>
      <c r="G68" s="43"/>
      <c r="H68" s="43"/>
      <c r="I68" s="33"/>
      <c r="J68" s="28"/>
    </row>
    <row r="69" spans="2:10" x14ac:dyDescent="0.35">
      <c r="B69" s="29"/>
      <c r="C69" s="40" t="s">
        <v>44</v>
      </c>
      <c r="D69" s="38"/>
      <c r="E69" s="44">
        <f>E62</f>
        <v>340020000</v>
      </c>
      <c r="F69" s="44">
        <f t="shared" ref="F69:H69" si="9">F62</f>
        <v>362511519.21249998</v>
      </c>
      <c r="G69" s="44">
        <f t="shared" si="9"/>
        <v>386493103.53877187</v>
      </c>
      <c r="H69" s="44">
        <f t="shared" si="9"/>
        <v>412063622.7593447</v>
      </c>
      <c r="I69" s="33"/>
      <c r="J69" s="28"/>
    </row>
    <row r="70" spans="2:10" x14ac:dyDescent="0.35">
      <c r="B70" s="29"/>
      <c r="C70" s="40" t="s">
        <v>45</v>
      </c>
      <c r="D70" s="38"/>
      <c r="E70" s="43">
        <f>E67</f>
        <v>202740000</v>
      </c>
      <c r="F70" s="43">
        <f t="shared" ref="F70:H70" si="10">F67</f>
        <v>216255312.96249998</v>
      </c>
      <c r="G70" s="43">
        <f t="shared" si="10"/>
        <v>230672950.50007892</v>
      </c>
      <c r="H70" s="43">
        <f t="shared" si="10"/>
        <v>246053243.44094568</v>
      </c>
      <c r="I70" s="33"/>
      <c r="J70" s="28"/>
    </row>
    <row r="71" spans="2:10" x14ac:dyDescent="0.35">
      <c r="B71" s="29"/>
      <c r="C71" s="40" t="s">
        <v>16</v>
      </c>
      <c r="D71" s="38"/>
      <c r="E71" s="57">
        <f>D26</f>
        <v>53000000</v>
      </c>
      <c r="F71" s="57">
        <f>E71*(1+$D$28)</f>
        <v>54722500</v>
      </c>
      <c r="G71" s="57">
        <f>F71*(1+$D$28)</f>
        <v>56500981.25</v>
      </c>
      <c r="H71" s="57">
        <f>G71*(1+$D$28)</f>
        <v>58337263.140625</v>
      </c>
      <c r="I71" s="33"/>
      <c r="J71" s="28"/>
    </row>
    <row r="72" spans="2:10" x14ac:dyDescent="0.35">
      <c r="B72" s="29"/>
      <c r="C72" s="40" t="s">
        <v>46</v>
      </c>
      <c r="D72" s="38"/>
      <c r="E72" s="56">
        <f>D37*D9</f>
        <v>26436500</v>
      </c>
      <c r="F72" s="56">
        <f>D38*D9</f>
        <v>45306500</v>
      </c>
      <c r="G72" s="56">
        <f>D39*D9</f>
        <v>32356500</v>
      </c>
      <c r="H72" s="56">
        <f>D40*D9</f>
        <v>23106500</v>
      </c>
      <c r="I72" s="33"/>
      <c r="J72" s="28"/>
    </row>
    <row r="73" spans="2:10" x14ac:dyDescent="0.35">
      <c r="B73" s="29"/>
      <c r="C73" s="40" t="s">
        <v>47</v>
      </c>
      <c r="D73" s="38"/>
      <c r="E73" s="44">
        <f>E69-(E70+E71+E72)</f>
        <v>57843500</v>
      </c>
      <c r="F73" s="44">
        <f>F69-(F70+F71+F72)</f>
        <v>46227206.25</v>
      </c>
      <c r="G73" s="44">
        <f>G69-(G70+G71+G72)</f>
        <v>66962671.788692951</v>
      </c>
      <c r="H73" s="44">
        <f>H69-(H70+H71+H72)</f>
        <v>84566616.177774012</v>
      </c>
      <c r="I73" s="33"/>
      <c r="J73" s="28"/>
    </row>
    <row r="74" spans="2:10" x14ac:dyDescent="0.35">
      <c r="B74" s="29"/>
      <c r="C74" s="40" t="s">
        <v>48</v>
      </c>
      <c r="D74" s="38"/>
      <c r="E74" s="56">
        <f>$D$27*E73</f>
        <v>13304005</v>
      </c>
      <c r="F74" s="56">
        <f t="shared" ref="F74:H74" si="11">$D$27*F73</f>
        <v>10632257.4375</v>
      </c>
      <c r="G74" s="56">
        <f t="shared" si="11"/>
        <v>15401414.511399379</v>
      </c>
      <c r="H74" s="56">
        <f t="shared" si="11"/>
        <v>19450321.720888022</v>
      </c>
      <c r="I74" s="33"/>
      <c r="J74" s="28"/>
    </row>
    <row r="75" spans="2:10" x14ac:dyDescent="0.35">
      <c r="B75" s="29"/>
      <c r="C75" s="40" t="s">
        <v>49</v>
      </c>
      <c r="D75" s="38"/>
      <c r="E75" s="44">
        <f>E73-E74</f>
        <v>44539495</v>
      </c>
      <c r="F75" s="44">
        <f t="shared" ref="F75:G75" si="12">F73-F74</f>
        <v>35594948.8125</v>
      </c>
      <c r="G75" s="44">
        <f t="shared" si="12"/>
        <v>51561257.27729357</v>
      </c>
      <c r="H75" s="44">
        <f>H73-H74</f>
        <v>65116294.456885993</v>
      </c>
      <c r="I75" s="33"/>
      <c r="J75" s="28"/>
    </row>
    <row r="76" spans="2:10" x14ac:dyDescent="0.35">
      <c r="B76" s="29"/>
      <c r="C76" s="40" t="s">
        <v>50</v>
      </c>
      <c r="D76" s="38"/>
      <c r="E76" s="44">
        <f>E73+E72-E74</f>
        <v>70975995</v>
      </c>
      <c r="F76" s="44">
        <f t="shared" ref="F76:G76" si="13">F73+F72-F74</f>
        <v>80901448.8125</v>
      </c>
      <c r="G76" s="44">
        <f t="shared" si="13"/>
        <v>83917757.277293578</v>
      </c>
      <c r="H76" s="44">
        <f>H73+H72-H74</f>
        <v>88222794.456885993</v>
      </c>
      <c r="I76" s="33"/>
      <c r="J76" s="28"/>
    </row>
    <row r="77" spans="2:10" x14ac:dyDescent="0.35">
      <c r="B77" s="29"/>
      <c r="C77" s="40"/>
      <c r="D77" s="38"/>
      <c r="E77" s="44"/>
      <c r="F77" s="44"/>
      <c r="G77" s="44"/>
      <c r="H77" s="44"/>
      <c r="I77" s="33"/>
      <c r="J77" s="28"/>
    </row>
    <row r="78" spans="2:10" x14ac:dyDescent="0.35">
      <c r="B78" s="29"/>
      <c r="C78" s="37" t="s">
        <v>51</v>
      </c>
      <c r="D78" s="38"/>
      <c r="E78" s="44"/>
      <c r="F78" s="44"/>
      <c r="G78" s="44"/>
      <c r="H78" s="44"/>
      <c r="I78" s="33"/>
      <c r="J78" s="28"/>
    </row>
    <row r="79" spans="2:10" x14ac:dyDescent="0.35">
      <c r="B79" s="29"/>
      <c r="C79" s="40" t="s">
        <v>52</v>
      </c>
      <c r="D79" s="38">
        <v>0</v>
      </c>
      <c r="E79" s="44">
        <v>10000000</v>
      </c>
      <c r="F79" s="44">
        <f>E80</f>
        <v>51003000</v>
      </c>
      <c r="G79" s="44">
        <f>F80</f>
        <v>54376727.881874993</v>
      </c>
      <c r="H79" s="44">
        <f>G80</f>
        <v>57973965.53081578</v>
      </c>
      <c r="I79" s="33"/>
      <c r="J79" s="28"/>
    </row>
    <row r="80" spans="2:10" x14ac:dyDescent="0.35">
      <c r="B80" s="29"/>
      <c r="C80" s="40" t="s">
        <v>53</v>
      </c>
      <c r="D80" s="45">
        <v>10000000</v>
      </c>
      <c r="E80" s="45">
        <f>$D$35*E69</f>
        <v>51003000</v>
      </c>
      <c r="F80" s="45">
        <f>$D$35*F69</f>
        <v>54376727.881874993</v>
      </c>
      <c r="G80" s="45">
        <f>$D$35*G69</f>
        <v>57973965.53081578</v>
      </c>
      <c r="H80" s="54">
        <v>0</v>
      </c>
      <c r="I80" s="33"/>
      <c r="J80" s="28"/>
    </row>
    <row r="81" spans="2:10" x14ac:dyDescent="0.35">
      <c r="B81" s="29"/>
      <c r="C81" s="40" t="s">
        <v>54</v>
      </c>
      <c r="D81" s="44">
        <f>D79-D80</f>
        <v>-10000000</v>
      </c>
      <c r="E81" s="44">
        <f>E79-E80</f>
        <v>-41003000</v>
      </c>
      <c r="F81" s="44">
        <f>F79-F80</f>
        <v>-3373727.8818749934</v>
      </c>
      <c r="G81" s="44">
        <f>G79-G80</f>
        <v>-3597237.6489407867</v>
      </c>
      <c r="H81" s="44">
        <f>H79-H80</f>
        <v>57973965.53081578</v>
      </c>
      <c r="I81" s="33"/>
      <c r="J81" s="28"/>
    </row>
    <row r="82" spans="2:10" x14ac:dyDescent="0.35">
      <c r="B82" s="29"/>
      <c r="C82" s="40"/>
      <c r="D82" s="38"/>
      <c r="E82" s="44"/>
      <c r="F82" s="44"/>
      <c r="G82" s="44"/>
      <c r="H82" s="44"/>
      <c r="I82" s="33"/>
      <c r="J82" s="28"/>
    </row>
    <row r="83" spans="2:10" x14ac:dyDescent="0.35">
      <c r="B83" s="29"/>
      <c r="C83" s="40" t="s">
        <v>55</v>
      </c>
      <c r="D83" s="44">
        <f>D9-(E72+F72+G72+H72)</f>
        <v>57794000</v>
      </c>
      <c r="E83" s="44"/>
      <c r="F83" s="44"/>
      <c r="G83" s="44"/>
      <c r="H83" s="44"/>
      <c r="I83" s="33"/>
      <c r="J83" s="28"/>
    </row>
    <row r="84" spans="2:10" x14ac:dyDescent="0.35">
      <c r="B84" s="29"/>
      <c r="C84" s="40"/>
      <c r="D84" s="38"/>
      <c r="E84" s="44"/>
      <c r="F84" s="44"/>
      <c r="G84" s="44"/>
      <c r="H84" s="44"/>
      <c r="I84" s="33"/>
      <c r="J84" s="28"/>
    </row>
    <row r="85" spans="2:10" x14ac:dyDescent="0.35">
      <c r="B85" s="29"/>
      <c r="C85" s="40" t="s">
        <v>56</v>
      </c>
      <c r="D85" s="38"/>
      <c r="E85" s="44"/>
      <c r="F85" s="44"/>
      <c r="G85" s="44"/>
      <c r="H85" s="44"/>
      <c r="I85" s="33"/>
      <c r="J85" s="28"/>
    </row>
    <row r="86" spans="2:10" x14ac:dyDescent="0.35">
      <c r="B86" s="29"/>
      <c r="C86" s="40" t="s">
        <v>57</v>
      </c>
      <c r="D86" s="44">
        <v>75000000</v>
      </c>
      <c r="E86" s="44"/>
      <c r="F86" s="44"/>
      <c r="G86" s="44"/>
      <c r="H86" s="44"/>
      <c r="I86" s="33"/>
      <c r="J86" s="28"/>
    </row>
    <row r="87" spans="2:10" x14ac:dyDescent="0.35">
      <c r="B87" s="29"/>
      <c r="C87" s="40" t="s">
        <v>58</v>
      </c>
      <c r="D87" s="56">
        <f>(D86-D83)*D27</f>
        <v>3957380</v>
      </c>
      <c r="E87" s="44"/>
      <c r="F87" s="44"/>
      <c r="G87" s="44"/>
      <c r="H87" s="44"/>
      <c r="I87" s="33"/>
      <c r="J87" s="28"/>
    </row>
    <row r="88" spans="2:10" x14ac:dyDescent="0.35">
      <c r="B88" s="29"/>
      <c r="C88" s="40" t="s">
        <v>42</v>
      </c>
      <c r="D88" s="44">
        <f>D86-D87</f>
        <v>71042620</v>
      </c>
      <c r="E88" s="44"/>
      <c r="F88" s="44"/>
      <c r="G88" s="44"/>
      <c r="H88" s="44"/>
      <c r="I88" s="33"/>
      <c r="J88" s="28"/>
    </row>
    <row r="89" spans="2:10" x14ac:dyDescent="0.35">
      <c r="B89" s="29"/>
      <c r="C89" s="40"/>
      <c r="D89" s="38"/>
      <c r="E89" s="44"/>
      <c r="F89" s="44"/>
      <c r="G89" s="44"/>
      <c r="H89" s="44"/>
      <c r="I89" s="33"/>
      <c r="J89" s="28"/>
    </row>
    <row r="90" spans="2:10" x14ac:dyDescent="0.35">
      <c r="B90" s="29"/>
      <c r="C90" s="40"/>
      <c r="D90" s="36" t="s">
        <v>29</v>
      </c>
      <c r="E90" s="36" t="s">
        <v>30</v>
      </c>
      <c r="F90" s="36" t="s">
        <v>31</v>
      </c>
      <c r="G90" s="36" t="s">
        <v>32</v>
      </c>
      <c r="H90" s="36" t="s">
        <v>33</v>
      </c>
      <c r="I90" s="33"/>
      <c r="J90" s="28"/>
    </row>
    <row r="91" spans="2:10" x14ac:dyDescent="0.35">
      <c r="B91" s="29"/>
      <c r="C91" s="40" t="s">
        <v>59</v>
      </c>
      <c r="D91" s="38">
        <v>0</v>
      </c>
      <c r="E91" s="44">
        <f>E76</f>
        <v>70975995</v>
      </c>
      <c r="F91" s="44">
        <f t="shared" ref="F91:H91" si="14">F76</f>
        <v>80901448.8125</v>
      </c>
      <c r="G91" s="44">
        <f t="shared" si="14"/>
        <v>83917757.277293578</v>
      </c>
      <c r="H91" s="44">
        <f t="shared" si="14"/>
        <v>88222794.456885993</v>
      </c>
      <c r="I91" s="33"/>
      <c r="J91" s="28"/>
    </row>
    <row r="92" spans="2:10" x14ac:dyDescent="0.35">
      <c r="B92" s="29"/>
      <c r="C92" s="40" t="s">
        <v>60</v>
      </c>
      <c r="D92" s="44">
        <f>D9</f>
        <v>185000000</v>
      </c>
      <c r="E92" s="44">
        <v>0</v>
      </c>
      <c r="F92" s="44">
        <v>0</v>
      </c>
      <c r="G92" s="44">
        <v>0</v>
      </c>
      <c r="H92" s="43">
        <v>0</v>
      </c>
      <c r="I92" s="33"/>
      <c r="J92" s="28"/>
    </row>
    <row r="93" spans="2:10" x14ac:dyDescent="0.35">
      <c r="B93" s="29"/>
      <c r="C93" s="40" t="s">
        <v>61</v>
      </c>
      <c r="D93" s="45">
        <f>-D81</f>
        <v>10000000</v>
      </c>
      <c r="E93" s="45">
        <f>-E81</f>
        <v>41003000</v>
      </c>
      <c r="F93" s="45">
        <f t="shared" ref="F93:H93" si="15">-F81</f>
        <v>3373727.8818749934</v>
      </c>
      <c r="G93" s="45">
        <f t="shared" si="15"/>
        <v>3597237.6489407867</v>
      </c>
      <c r="H93" s="45">
        <f t="shared" si="15"/>
        <v>-57973965.53081578</v>
      </c>
      <c r="I93" s="33"/>
      <c r="J93" s="28"/>
    </row>
    <row r="94" spans="2:10" x14ac:dyDescent="0.35">
      <c r="B94" s="29"/>
      <c r="C94" s="40" t="s">
        <v>62</v>
      </c>
      <c r="D94" s="44">
        <f>D91-D92-D93</f>
        <v>-195000000</v>
      </c>
      <c r="E94" s="44">
        <f>E91-E92-E93</f>
        <v>29972995</v>
      </c>
      <c r="F94" s="44">
        <f t="shared" ref="F94:G94" si="16">F91-F92-F93</f>
        <v>77527720.930625007</v>
      </c>
      <c r="G94" s="44">
        <f>G91-G92-G93</f>
        <v>80320519.628352791</v>
      </c>
      <c r="H94" s="44">
        <f>H91+D88-H92-H93</f>
        <v>217239379.98770177</v>
      </c>
      <c r="I94" s="33"/>
      <c r="J94" s="28"/>
    </row>
    <row r="95" spans="2:10" x14ac:dyDescent="0.35">
      <c r="B95" s="29"/>
      <c r="C95" s="40"/>
      <c r="D95" s="44"/>
      <c r="E95" s="44"/>
      <c r="F95" s="44"/>
      <c r="G95" s="44"/>
      <c r="H95" s="39"/>
      <c r="I95" s="33"/>
      <c r="J95" s="28"/>
    </row>
    <row r="96" spans="2:10" x14ac:dyDescent="0.35">
      <c r="B96" s="29"/>
      <c r="C96" s="40" t="s">
        <v>63</v>
      </c>
      <c r="D96" s="44">
        <f>D94</f>
        <v>-195000000</v>
      </c>
      <c r="E96" s="44">
        <f>E94/(1+$D$33)</f>
        <v>26431212.522045858</v>
      </c>
      <c r="F96" s="44">
        <f>F94/(1+$D$33)^2</f>
        <v>60288004.35677816</v>
      </c>
      <c r="G96" s="44">
        <f>G94/(1+$D$33)^3</f>
        <v>55079164.752385125</v>
      </c>
      <c r="H96" s="44">
        <f>H94/(1+$D$33)^4</f>
        <v>131367016.4130816</v>
      </c>
      <c r="I96" s="33"/>
      <c r="J96" s="28"/>
    </row>
    <row r="97" spans="2:10" x14ac:dyDescent="0.35">
      <c r="B97" s="29"/>
      <c r="C97" s="40"/>
      <c r="D97" s="38"/>
      <c r="E97" s="44"/>
      <c r="F97" s="44"/>
      <c r="G97" s="44"/>
      <c r="H97" s="44"/>
      <c r="I97" s="33"/>
      <c r="J97" s="28"/>
    </row>
    <row r="98" spans="2:10" x14ac:dyDescent="0.35">
      <c r="B98" s="29"/>
      <c r="C98" s="40" t="s">
        <v>64</v>
      </c>
      <c r="D98" s="58">
        <f>NPV(D33,D94:H94)*(1+D33)</f>
        <v>78165398.044290751</v>
      </c>
      <c r="E98" s="44"/>
      <c r="F98" s="44"/>
      <c r="G98" s="44"/>
      <c r="H98" s="39"/>
      <c r="I98" s="33"/>
      <c r="J98" s="28"/>
    </row>
    <row r="99" spans="2:10" x14ac:dyDescent="0.35">
      <c r="B99" s="29"/>
      <c r="C99" s="40" t="s">
        <v>65</v>
      </c>
      <c r="D99" s="46">
        <f>IRR(D94:H94)</f>
        <v>0.26864045001460379</v>
      </c>
      <c r="E99" s="44"/>
      <c r="F99" s="44"/>
      <c r="G99" s="47"/>
      <c r="H99" s="44"/>
      <c r="I99" s="33"/>
      <c r="J99" s="28"/>
    </row>
    <row r="100" spans="2:10" x14ac:dyDescent="0.35">
      <c r="B100" s="29"/>
      <c r="C100" s="40" t="s">
        <v>66</v>
      </c>
      <c r="D100" s="48">
        <f>SUM(E96:H96)/-D96</f>
        <v>1.4008481950989269</v>
      </c>
      <c r="E100" s="44"/>
      <c r="F100" s="44"/>
      <c r="G100" s="44"/>
      <c r="H100" s="44"/>
      <c r="I100" s="33"/>
      <c r="J100" s="28"/>
    </row>
    <row r="101" spans="2:10" ht="16" thickBot="1" x14ac:dyDescent="0.4">
      <c r="B101" s="49"/>
      <c r="C101" s="50"/>
      <c r="D101" s="50"/>
      <c r="E101" s="50"/>
      <c r="F101" s="50"/>
      <c r="G101" s="50"/>
      <c r="H101" s="50"/>
      <c r="I101" s="51"/>
      <c r="J101" s="28"/>
    </row>
    <row r="103" spans="2:10" x14ac:dyDescent="0.35">
      <c r="F103" s="52"/>
    </row>
    <row r="104" spans="2:10" x14ac:dyDescent="0.35">
      <c r="D104" s="28"/>
      <c r="E104" s="53"/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Hadjanhie Bassinet</cp:lastModifiedBy>
  <dcterms:created xsi:type="dcterms:W3CDTF">2019-04-28T02:56:45Z</dcterms:created>
  <dcterms:modified xsi:type="dcterms:W3CDTF">2025-11-13T05:54:51Z</dcterms:modified>
</cp:coreProperties>
</file>